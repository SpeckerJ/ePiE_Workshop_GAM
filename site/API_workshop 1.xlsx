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j_c_specker_uva_nl/Documents/Postdoc/PREMIER/ePiE/Workshop/mkdocs_manual/docs/"/>
    </mc:Choice>
  </mc:AlternateContent>
  <xr:revisionPtr revIDLastSave="2" documentId="13_ncr:1_{BCA84A6C-91EE-C24A-AC5C-448E9FF48EE8}" xr6:coauthVersionLast="47" xr6:coauthVersionMax="47" xr10:uidLastSave="{798F2942-1484-43E8-AECE-D9DF7443488C}"/>
  <bookViews>
    <workbookView xWindow="-108" yWindow="-108" windowWidth="23256" windowHeight="12456" xr2:uid="{00000000-000D-0000-FFFF-FFFF00000000}"/>
  </bookViews>
  <sheets>
    <sheet name="result_template" sheetId="4" r:id="rId1"/>
    <sheet name="me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4" l="1"/>
  <c r="I6" i="4"/>
  <c r="I10" i="4"/>
  <c r="C17" i="4"/>
  <c r="C16" i="4"/>
  <c r="C15" i="4"/>
  <c r="C14" i="4"/>
  <c r="I3" i="4"/>
  <c r="I4" i="4"/>
  <c r="I5" i="4"/>
  <c r="I9" i="4"/>
  <c r="I2" i="4"/>
</calcChain>
</file>

<file path=xl/sharedStrings.xml><?xml version="1.0" encoding="utf-8"?>
<sst xmlns="http://schemas.openxmlformats.org/spreadsheetml/2006/main" count="175" uniqueCount="77">
  <si>
    <t>Scenario description</t>
  </si>
  <si>
    <t>API</t>
  </si>
  <si>
    <t>CAS</t>
  </si>
  <si>
    <t>Consumption description</t>
  </si>
  <si>
    <t>Consumption g/C/Y</t>
  </si>
  <si>
    <t>WWTP removal description</t>
  </si>
  <si>
    <t>WWTP removal value</t>
  </si>
  <si>
    <t>Flow conditions</t>
  </si>
  <si>
    <t>PNEC_ngL</t>
  </si>
  <si>
    <t>Excretion decription</t>
  </si>
  <si>
    <t>f_uf</t>
  </si>
  <si>
    <t>Results risk</t>
  </si>
  <si>
    <t>Results basin level (what stat to select?)</t>
  </si>
  <si>
    <t>Baseline</t>
  </si>
  <si>
    <t>Ibuprofen</t>
  </si>
  <si>
    <t>15687-27-1</t>
  </si>
  <si>
    <t>European average</t>
  </si>
  <si>
    <t>5 (Cristiana)</t>
  </si>
  <si>
    <t>SimpleTreat 4.0 (within ePiE)</t>
  </si>
  <si>
    <t>?</t>
  </si>
  <si>
    <t>Average yearly flow</t>
  </si>
  <si>
    <t>Literature value</t>
  </si>
  <si>
    <t>Pepper comparison</t>
  </si>
  <si>
    <t>Pepper (estimate from model)</t>
  </si>
  <si>
    <t>Country lvl consumption</t>
  </si>
  <si>
    <t>Country (UK) average</t>
  </si>
  <si>
    <t>X (NHS)</t>
  </si>
  <si>
    <t>Explore impact of f_uf</t>
  </si>
  <si>
    <t>Assuming full excretion</t>
  </si>
  <si>
    <t>Explore impact of f_uf and no WWTP</t>
  </si>
  <si>
    <t>No removal</t>
  </si>
  <si>
    <t>EMA type risk</t>
  </si>
  <si>
    <t>EMA (marked factor)</t>
  </si>
  <si>
    <t>EMA type risk worst case</t>
  </si>
  <si>
    <t>Minimum yearly flow</t>
  </si>
  <si>
    <t>EMA type risk worst case +Rhine</t>
  </si>
  <si>
    <t>Metric</t>
  </si>
  <si>
    <t>value</t>
  </si>
  <si>
    <t>unit</t>
  </si>
  <si>
    <t>EMA actual PEC</t>
  </si>
  <si>
    <t>ng/L</t>
  </si>
  <si>
    <t>Acetaminophen</t>
  </si>
  <si>
    <t>PNEC</t>
  </si>
  <si>
    <t>Column</t>
  </si>
  <si>
    <t>Units</t>
  </si>
  <si>
    <t>Description</t>
  </si>
  <si>
    <t>Example</t>
  </si>
  <si>
    <t>Parameter used for…</t>
  </si>
  <si>
    <t>-</t>
  </si>
  <si>
    <t>Name of the active pharmaceutical ingredient (API)</t>
  </si>
  <si>
    <t>Not used in calculations, only for labelling/identification</t>
  </si>
  <si>
    <t>CAS number</t>
  </si>
  <si>
    <t>class</t>
  </si>
  <si>
    <t>Chemical class of the API (neutral/acid/base)</t>
  </si>
  <si>
    <t>acid</t>
  </si>
  <si>
    <t>Used to estmiate fractions of the neutral and alternate forms of the API</t>
  </si>
  <si>
    <t>MW</t>
  </si>
  <si>
    <t>g/mol</t>
  </si>
  <si>
    <t>Molecular weight  (for APIs that are salts: preferably enter molecular weight of free acid/base)</t>
  </si>
  <si>
    <t>Used for calculating volatilization</t>
  </si>
  <si>
    <t>KOW_n</t>
  </si>
  <si>
    <t>Octanol/water partitioning coefficient of the neutral form</t>
  </si>
  <si>
    <t>Used for predicting partitioning behavior of the API</t>
  </si>
  <si>
    <t>Pv</t>
  </si>
  <si>
    <t>Pa</t>
  </si>
  <si>
    <t>Vapour pressure at 25 °C</t>
  </si>
  <si>
    <t>S</t>
  </si>
  <si>
    <t>mg/L</t>
  </si>
  <si>
    <t>Solubility in water at 25 °C</t>
  </si>
  <si>
    <t>pKa</t>
  </si>
  <si>
    <t>Acid dissociation coefficient</t>
  </si>
  <si>
    <t>Fraction of dose excreted unchanged via urine and faeces</t>
  </si>
  <si>
    <t>Used to calculate amount of substance emitted to the sewer</t>
  </si>
  <si>
    <t>k_bio_wwtp</t>
  </si>
  <si>
    <t>s-1</t>
  </si>
  <si>
    <t>First order biodegradation rate constant secondary treatment of neutral form</t>
  </si>
  <si>
    <t>Used to derive the partitioning coefficient between solids and water for the alternate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</si>
</sst>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5" borderId="0" applyNumberFormat="0" applyBorder="0" applyAlignment="0" applyProtection="0"/>
    <xf numFmtId="0" fontId="5" fillId="6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1"/>
    <xf numFmtId="0" fontId="1" fillId="0" borderId="0" xfId="1" applyFont="1"/>
    <xf numFmtId="0" fontId="0" fillId="3" borderId="0" xfId="0" applyFill="1"/>
    <xf numFmtId="0" fontId="0" fillId="4" borderId="0" xfId="0" applyFill="1"/>
    <xf numFmtId="0" fontId="4" fillId="5" borderId="0" xfId="2"/>
    <xf numFmtId="0" fontId="1" fillId="2" borderId="0" xfId="0" applyFont="1" applyFill="1"/>
    <xf numFmtId="0" fontId="5" fillId="3" borderId="0" xfId="3" applyFill="1"/>
  </cellXfs>
  <cellStyles count="4">
    <cellStyle name="Good" xfId="2" builtinId="26"/>
    <cellStyle name="Neutral" xfId="3" builtinId="28"/>
    <cellStyle name="Normal" xfId="0" builtinId="0"/>
    <cellStyle name="Normal 2" xfId="1" xr:uid="{5D3BBD70-14D9-40A2-B027-850EC58BA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692C-546F-AA48-8DC7-482D45DE9EB1}">
  <dimension ref="A1:M17"/>
  <sheetViews>
    <sheetView tabSelected="1" workbookViewId="0">
      <selection activeCell="B1" sqref="B1:C6"/>
    </sheetView>
  </sheetViews>
  <sheetFormatPr defaultColWidth="11.44140625" defaultRowHeight="14.4" x14ac:dyDescent="0.3"/>
  <cols>
    <col min="1" max="1" width="29" bestFit="1" customWidth="1"/>
    <col min="4" max="4" width="20.77734375" bestFit="1" customWidth="1"/>
    <col min="5" max="5" width="19.21875" customWidth="1"/>
    <col min="6" max="6" width="23.77734375" bestFit="1" customWidth="1"/>
    <col min="7" max="8" width="22.77734375" customWidth="1"/>
    <col min="9" max="9" width="13.77734375" customWidth="1"/>
    <col min="10" max="10" width="18.77734375" bestFit="1" customWidth="1"/>
    <col min="11" max="11" width="17" customWidth="1"/>
    <col min="12" max="12" width="26.21875" customWidth="1"/>
    <col min="13" max="13" width="35.21875" bestFit="1" customWidth="1"/>
  </cols>
  <sheetData>
    <row r="1" spans="1:13" ht="15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0" t="s">
        <v>10</v>
      </c>
      <c r="L1" s="8" t="s">
        <v>11</v>
      </c>
      <c r="M1" s="8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s="9" t="s">
        <v>17</v>
      </c>
      <c r="F2" t="s">
        <v>18</v>
      </c>
      <c r="G2" s="2" t="s">
        <v>19</v>
      </c>
      <c r="H2" s="2" t="s">
        <v>20</v>
      </c>
      <c r="I2">
        <f>0.00001*1000000</f>
        <v>10</v>
      </c>
      <c r="J2" t="s">
        <v>21</v>
      </c>
      <c r="K2">
        <v>0.2</v>
      </c>
      <c r="L2" s="2" t="s">
        <v>19</v>
      </c>
      <c r="M2" s="2" t="s">
        <v>19</v>
      </c>
    </row>
    <row r="3" spans="1:13" x14ac:dyDescent="0.3">
      <c r="A3" t="s">
        <v>22</v>
      </c>
      <c r="B3" t="s">
        <v>14</v>
      </c>
      <c r="C3" t="s">
        <v>15</v>
      </c>
      <c r="D3" t="s">
        <v>16</v>
      </c>
      <c r="E3" s="9" t="s">
        <v>17</v>
      </c>
      <c r="F3" t="s">
        <v>23</v>
      </c>
      <c r="G3" s="2" t="s">
        <v>19</v>
      </c>
      <c r="H3" s="2" t="s">
        <v>20</v>
      </c>
      <c r="I3">
        <f t="shared" ref="I3:I11" si="0">0.00001*1000000</f>
        <v>10</v>
      </c>
      <c r="J3" t="s">
        <v>21</v>
      </c>
      <c r="K3">
        <v>0.2</v>
      </c>
      <c r="L3" s="2" t="s">
        <v>19</v>
      </c>
      <c r="M3" s="2" t="s">
        <v>19</v>
      </c>
    </row>
    <row r="4" spans="1:13" x14ac:dyDescent="0.3">
      <c r="A4" t="s">
        <v>24</v>
      </c>
      <c r="B4" t="s">
        <v>14</v>
      </c>
      <c r="C4" t="s">
        <v>15</v>
      </c>
      <c r="D4" t="s">
        <v>25</v>
      </c>
      <c r="E4" s="9" t="s">
        <v>26</v>
      </c>
      <c r="F4" t="s">
        <v>18</v>
      </c>
      <c r="G4" s="2" t="s">
        <v>19</v>
      </c>
      <c r="H4" s="2" t="s">
        <v>20</v>
      </c>
      <c r="I4">
        <f t="shared" si="0"/>
        <v>10</v>
      </c>
      <c r="J4" t="s">
        <v>21</v>
      </c>
      <c r="K4">
        <v>0.2</v>
      </c>
      <c r="L4" s="2" t="s">
        <v>19</v>
      </c>
      <c r="M4" s="2" t="s">
        <v>19</v>
      </c>
    </row>
    <row r="5" spans="1:13" x14ac:dyDescent="0.3">
      <c r="A5" t="s">
        <v>27</v>
      </c>
      <c r="B5" t="s">
        <v>14</v>
      </c>
      <c r="C5" t="s">
        <v>15</v>
      </c>
      <c r="D5" t="s">
        <v>25</v>
      </c>
      <c r="E5" s="9" t="s">
        <v>26</v>
      </c>
      <c r="F5" t="s">
        <v>18</v>
      </c>
      <c r="G5" s="2" t="s">
        <v>19</v>
      </c>
      <c r="H5" s="2" t="s">
        <v>20</v>
      </c>
      <c r="I5">
        <f t="shared" si="0"/>
        <v>10</v>
      </c>
      <c r="J5" t="s">
        <v>28</v>
      </c>
      <c r="K5" s="2">
        <v>1</v>
      </c>
      <c r="L5" s="2" t="s">
        <v>19</v>
      </c>
      <c r="M5" s="2" t="s">
        <v>19</v>
      </c>
    </row>
    <row r="6" spans="1:13" x14ac:dyDescent="0.3">
      <c r="A6" t="s">
        <v>29</v>
      </c>
      <c r="B6" t="s">
        <v>14</v>
      </c>
      <c r="C6" t="s">
        <v>15</v>
      </c>
      <c r="D6" t="s">
        <v>25</v>
      </c>
      <c r="E6" s="9" t="s">
        <v>26</v>
      </c>
      <c r="F6" t="s">
        <v>30</v>
      </c>
      <c r="G6" s="2" t="s">
        <v>19</v>
      </c>
      <c r="H6" s="2" t="s">
        <v>20</v>
      </c>
      <c r="I6">
        <f t="shared" si="0"/>
        <v>10</v>
      </c>
      <c r="J6" t="s">
        <v>28</v>
      </c>
      <c r="K6" s="2">
        <v>1</v>
      </c>
      <c r="L6" s="2" t="s">
        <v>19</v>
      </c>
      <c r="M6" s="2" t="s">
        <v>19</v>
      </c>
    </row>
    <row r="7" spans="1:13" s="4" customFormat="1" x14ac:dyDescent="0.3"/>
    <row r="8" spans="1:13" ht="15.6" x14ac:dyDescent="0.3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8" t="s">
        <v>11</v>
      </c>
      <c r="M8" s="8" t="s">
        <v>12</v>
      </c>
    </row>
    <row r="9" spans="1:13" x14ac:dyDescent="0.3">
      <c r="A9" t="s">
        <v>31</v>
      </c>
      <c r="B9" t="s">
        <v>14</v>
      </c>
      <c r="C9" t="s">
        <v>15</v>
      </c>
      <c r="D9" t="s">
        <v>25</v>
      </c>
      <c r="E9" s="9" t="s">
        <v>32</v>
      </c>
      <c r="F9" t="s">
        <v>30</v>
      </c>
      <c r="G9" s="9">
        <v>0</v>
      </c>
      <c r="H9" s="2" t="s">
        <v>20</v>
      </c>
      <c r="I9">
        <f t="shared" si="0"/>
        <v>10</v>
      </c>
      <c r="J9" t="s">
        <v>28</v>
      </c>
      <c r="K9" s="2">
        <v>1</v>
      </c>
      <c r="L9" s="2" t="s">
        <v>19</v>
      </c>
      <c r="M9" s="2" t="s">
        <v>19</v>
      </c>
    </row>
    <row r="10" spans="1:13" x14ac:dyDescent="0.3">
      <c r="A10" t="s">
        <v>33</v>
      </c>
      <c r="B10" t="s">
        <v>14</v>
      </c>
      <c r="C10" t="s">
        <v>15</v>
      </c>
      <c r="D10" t="s">
        <v>25</v>
      </c>
      <c r="E10" s="9" t="s">
        <v>32</v>
      </c>
      <c r="F10" t="s">
        <v>30</v>
      </c>
      <c r="G10" s="9">
        <v>0</v>
      </c>
      <c r="H10" s="9" t="s">
        <v>34</v>
      </c>
      <c r="I10">
        <f t="shared" si="0"/>
        <v>10</v>
      </c>
      <c r="J10" t="s">
        <v>28</v>
      </c>
      <c r="K10" s="2">
        <v>1</v>
      </c>
      <c r="L10" s="2" t="s">
        <v>19</v>
      </c>
      <c r="M10" s="2" t="s">
        <v>19</v>
      </c>
    </row>
    <row r="11" spans="1:13" x14ac:dyDescent="0.3">
      <c r="A11" t="s">
        <v>35</v>
      </c>
      <c r="B11" t="s">
        <v>14</v>
      </c>
      <c r="C11" t="s">
        <v>15</v>
      </c>
      <c r="D11" t="s">
        <v>25</v>
      </c>
      <c r="E11" s="9" t="s">
        <v>32</v>
      </c>
      <c r="F11" t="s">
        <v>30</v>
      </c>
      <c r="G11" s="9">
        <v>0</v>
      </c>
      <c r="H11" s="9" t="s">
        <v>34</v>
      </c>
      <c r="I11">
        <f t="shared" si="0"/>
        <v>10</v>
      </c>
      <c r="J11" t="s">
        <v>28</v>
      </c>
      <c r="K11" s="2">
        <v>1</v>
      </c>
      <c r="L11" s="2" t="s">
        <v>19</v>
      </c>
      <c r="M11" s="2" t="s">
        <v>19</v>
      </c>
    </row>
    <row r="13" spans="1:13" x14ac:dyDescent="0.3">
      <c r="A13" s="3" t="s">
        <v>36</v>
      </c>
      <c r="B13" s="3" t="s">
        <v>1</v>
      </c>
      <c r="C13" s="3" t="s">
        <v>37</v>
      </c>
      <c r="D13" s="3" t="s">
        <v>38</v>
      </c>
    </row>
    <row r="14" spans="1:13" x14ac:dyDescent="0.3">
      <c r="A14" t="s">
        <v>39</v>
      </c>
      <c r="B14" t="s">
        <v>14</v>
      </c>
      <c r="C14">
        <f>0.006*1000000</f>
        <v>6000</v>
      </c>
      <c r="D14" t="s">
        <v>40</v>
      </c>
    </row>
    <row r="15" spans="1:13" x14ac:dyDescent="0.3">
      <c r="A15" t="s">
        <v>39</v>
      </c>
      <c r="B15" t="s">
        <v>41</v>
      </c>
      <c r="C15">
        <f>0.015*1000000</f>
        <v>15000</v>
      </c>
      <c r="D15" t="s">
        <v>40</v>
      </c>
    </row>
    <row r="16" spans="1:13" x14ac:dyDescent="0.3">
      <c r="A16" t="s">
        <v>42</v>
      </c>
      <c r="B16" t="s">
        <v>14</v>
      </c>
      <c r="C16">
        <f>0.00001*1000000</f>
        <v>10</v>
      </c>
      <c r="D16" t="s">
        <v>40</v>
      </c>
    </row>
    <row r="17" spans="1:4" x14ac:dyDescent="0.3">
      <c r="A17" t="s">
        <v>42</v>
      </c>
      <c r="B17" t="s">
        <v>41</v>
      </c>
      <c r="C17">
        <f>0.0001*1000000</f>
        <v>100</v>
      </c>
      <c r="D1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D03D-1BC4-47C3-84CA-FE6834F0384C}">
  <dimension ref="A1:E20"/>
  <sheetViews>
    <sheetView workbookViewId="0">
      <selection activeCell="C14" sqref="C14"/>
    </sheetView>
  </sheetViews>
  <sheetFormatPr defaultColWidth="8.77734375" defaultRowHeight="14.4" x14ac:dyDescent="0.3"/>
  <cols>
    <col min="1" max="1" width="32.77734375" bestFit="1" customWidth="1"/>
    <col min="2" max="2" width="12.44140625" customWidth="1"/>
    <col min="3" max="3" width="107.21875" bestFit="1" customWidth="1"/>
    <col min="4" max="4" width="15.21875" customWidth="1"/>
    <col min="5" max="5" width="160.77734375" bestFit="1" customWidth="1"/>
  </cols>
  <sheetData>
    <row r="1" spans="1:5" x14ac:dyDescent="0.3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</row>
    <row r="2" spans="1:5" x14ac:dyDescent="0.3">
      <c r="A2" s="6" t="s">
        <v>1</v>
      </c>
      <c r="B2" t="s">
        <v>48</v>
      </c>
      <c r="C2" t="s">
        <v>49</v>
      </c>
      <c r="D2" s="4" t="s">
        <v>14</v>
      </c>
      <c r="E2" t="s">
        <v>50</v>
      </c>
    </row>
    <row r="3" spans="1:5" x14ac:dyDescent="0.3">
      <c r="A3" s="6" t="s">
        <v>2</v>
      </c>
      <c r="B3" t="s">
        <v>48</v>
      </c>
      <c r="C3" t="s">
        <v>51</v>
      </c>
      <c r="D3" s="4" t="s">
        <v>15</v>
      </c>
      <c r="E3" t="s">
        <v>50</v>
      </c>
    </row>
    <row r="4" spans="1:5" x14ac:dyDescent="0.3">
      <c r="A4" s="7" t="s">
        <v>52</v>
      </c>
      <c r="B4" t="s">
        <v>48</v>
      </c>
      <c r="C4" t="s">
        <v>53</v>
      </c>
      <c r="D4" s="4" t="s">
        <v>54</v>
      </c>
      <c r="E4" t="s">
        <v>55</v>
      </c>
    </row>
    <row r="5" spans="1:5" x14ac:dyDescent="0.3">
      <c r="A5" s="7" t="s">
        <v>56</v>
      </c>
      <c r="B5" t="s">
        <v>57</v>
      </c>
      <c r="C5" t="s">
        <v>58</v>
      </c>
      <c r="D5" s="4">
        <v>206.2808</v>
      </c>
      <c r="E5" t="s">
        <v>59</v>
      </c>
    </row>
    <row r="6" spans="1:5" x14ac:dyDescent="0.3">
      <c r="A6" s="7" t="s">
        <v>60</v>
      </c>
      <c r="B6" t="s">
        <v>48</v>
      </c>
      <c r="C6" t="s">
        <v>61</v>
      </c>
      <c r="D6" s="4">
        <v>9332.5429999999997</v>
      </c>
      <c r="E6" t="s">
        <v>62</v>
      </c>
    </row>
    <row r="7" spans="1:5" x14ac:dyDescent="0.3">
      <c r="A7" s="7" t="s">
        <v>63</v>
      </c>
      <c r="B7" t="s">
        <v>64</v>
      </c>
      <c r="C7" t="s">
        <v>65</v>
      </c>
      <c r="D7" s="4">
        <v>2.4799999999999999E-2</v>
      </c>
      <c r="E7" t="s">
        <v>59</v>
      </c>
    </row>
    <row r="8" spans="1:5" x14ac:dyDescent="0.3">
      <c r="A8" s="7" t="s">
        <v>66</v>
      </c>
      <c r="B8" t="s">
        <v>67</v>
      </c>
      <c r="C8" t="s">
        <v>68</v>
      </c>
      <c r="D8" s="4">
        <v>21</v>
      </c>
      <c r="E8" t="s">
        <v>59</v>
      </c>
    </row>
    <row r="9" spans="1:5" x14ac:dyDescent="0.3">
      <c r="A9" s="7" t="s">
        <v>69</v>
      </c>
      <c r="B9" t="s">
        <v>48</v>
      </c>
      <c r="C9" t="s">
        <v>70</v>
      </c>
      <c r="D9" s="4">
        <v>4.8499999999999996</v>
      </c>
      <c r="E9" t="s">
        <v>55</v>
      </c>
    </row>
    <row r="10" spans="1:5" x14ac:dyDescent="0.3">
      <c r="A10" s="7" t="s">
        <v>10</v>
      </c>
      <c r="B10" t="s">
        <v>48</v>
      </c>
      <c r="C10" t="s">
        <v>71</v>
      </c>
      <c r="D10" s="4">
        <v>0.2</v>
      </c>
      <c r="E10" t="s">
        <v>72</v>
      </c>
    </row>
    <row r="11" spans="1:5" x14ac:dyDescent="0.3">
      <c r="A11" s="7" t="s">
        <v>73</v>
      </c>
      <c r="B11" t="s">
        <v>74</v>
      </c>
      <c r="C11" t="s">
        <v>75</v>
      </c>
      <c r="D11" s="4">
        <v>1.9715800000000001E-4</v>
      </c>
      <c r="E11" t="s">
        <v>76</v>
      </c>
    </row>
    <row r="12" spans="1:5" x14ac:dyDescent="0.3">
      <c r="D12" s="4"/>
    </row>
    <row r="13" spans="1:5" x14ac:dyDescent="0.3">
      <c r="D13" s="4"/>
    </row>
    <row r="14" spans="1:5" x14ac:dyDescent="0.3">
      <c r="A14" s="1"/>
      <c r="C14" s="1"/>
      <c r="D14" s="5"/>
    </row>
    <row r="15" spans="1:5" x14ac:dyDescent="0.3">
      <c r="D15" s="4"/>
    </row>
    <row r="16" spans="1:5" x14ac:dyDescent="0.3">
      <c r="A16" s="1"/>
      <c r="D16" s="4"/>
    </row>
    <row r="17" spans="1:4" x14ac:dyDescent="0.3">
      <c r="A17" s="1"/>
      <c r="D17" s="4"/>
    </row>
    <row r="18" spans="1:4" x14ac:dyDescent="0.3">
      <c r="D18" s="4"/>
    </row>
    <row r="19" spans="1:4" x14ac:dyDescent="0.3">
      <c r="D19" s="4"/>
    </row>
    <row r="20" spans="1:4" x14ac:dyDescent="0.3">
      <c r="D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result_template</vt:lpstr>
      <vt:lpstr>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Selwyn Hoeks</dc:creator>
  <cp:keywords/>
  <dc:description/>
  <cp:lastModifiedBy>Jan Specker</cp:lastModifiedBy>
  <cp:revision/>
  <dcterms:created xsi:type="dcterms:W3CDTF">2015-06-05T18:17:20Z</dcterms:created>
  <dcterms:modified xsi:type="dcterms:W3CDTF">2026-06-02T15:04:35Z</dcterms:modified>
  <cp:category/>
  <cp:contentStatus/>
</cp:coreProperties>
</file>